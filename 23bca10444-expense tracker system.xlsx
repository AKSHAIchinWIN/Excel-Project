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5C7A9BD-08FB-4A73-B8D6-0D79046C99C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xpense Data" sheetId="1" r:id="rId1"/>
    <sheet name="_Lookup" sheetId="2" state="hidden" r:id="rId2"/>
    <sheet name="Summary" sheetId="3" r:id="rId3"/>
  </sheets>
  <definedNames>
    <definedName name="Desc_Education">_Lookup!$G$2:$G$8</definedName>
    <definedName name="Desc_Entertainment">_Lookup!$D$2:$D$8</definedName>
    <definedName name="Desc_Food">_Lookup!$B$2:$B$8</definedName>
    <definedName name="Desc_Health">_Lookup!$F$2:$F$8</definedName>
    <definedName name="Desc_Other">_Lookup!$I$2:$I$8</definedName>
    <definedName name="Desc_Shopping">_Lookup!$C$2:$C$8</definedName>
    <definedName name="Desc_Transport">_Lookup!$E$2:$E$8</definedName>
    <definedName name="Desc_Utilities">_Lookup!$H$2:$H$8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3" l="1"/>
  <c r="B9" i="3"/>
  <c r="D8" i="3"/>
  <c r="B8" i="3"/>
  <c r="D7" i="3"/>
  <c r="B7" i="3"/>
  <c r="D6" i="3"/>
  <c r="B6" i="3"/>
  <c r="D5" i="3"/>
  <c r="B5" i="3"/>
  <c r="D4" i="3"/>
  <c r="B4" i="3"/>
  <c r="C4" i="3" s="1"/>
  <c r="D3" i="3"/>
  <c r="B3" i="3"/>
  <c r="D2" i="3"/>
  <c r="B2" i="3"/>
  <c r="D20" i="1"/>
  <c r="G9" i="1"/>
  <c r="G8" i="1"/>
  <c r="G7" i="1"/>
  <c r="G6" i="1"/>
  <c r="G5" i="1"/>
  <c r="G4" i="1"/>
  <c r="G3" i="1"/>
  <c r="G2" i="1"/>
  <c r="C9" i="3" l="1"/>
  <c r="C8" i="3"/>
  <c r="C7" i="3"/>
  <c r="C5" i="3"/>
  <c r="C2" i="3"/>
  <c r="C6" i="3"/>
  <c r="D10" i="3"/>
  <c r="C3" i="3"/>
  <c r="G10" i="1"/>
  <c r="B10" i="3"/>
  <c r="C10" i="3" s="1"/>
</calcChain>
</file>

<file path=xl/sharedStrings.xml><?xml version="1.0" encoding="utf-8"?>
<sst xmlns="http://schemas.openxmlformats.org/spreadsheetml/2006/main" count="151" uniqueCount="85">
  <si>
    <t>Date</t>
  </si>
  <si>
    <t>Category</t>
  </si>
  <si>
    <t>Description</t>
  </si>
  <si>
    <t>Amount</t>
  </si>
  <si>
    <t>Total (₹)</t>
  </si>
  <si>
    <t>2026-04-01</t>
  </si>
  <si>
    <t>Food</t>
  </si>
  <si>
    <t>Breakfast</t>
  </si>
  <si>
    <t>2026-04-02</t>
  </si>
  <si>
    <t>Shopping</t>
  </si>
  <si>
    <t>Clothes</t>
  </si>
  <si>
    <t>2026-04-03</t>
  </si>
  <si>
    <t>Dinner</t>
  </si>
  <si>
    <t>Entertainment</t>
  </si>
  <si>
    <t>Movie</t>
  </si>
  <si>
    <t>Transport</t>
  </si>
  <si>
    <t>2026-04-04</t>
  </si>
  <si>
    <t>Bus</t>
  </si>
  <si>
    <t>Health</t>
  </si>
  <si>
    <t>Auto</t>
  </si>
  <si>
    <t>Education</t>
  </si>
  <si>
    <t>2026-04-05</t>
  </si>
  <si>
    <t>Shoes</t>
  </si>
  <si>
    <t>Utilities</t>
  </si>
  <si>
    <t>Snacks</t>
  </si>
  <si>
    <t>Other</t>
  </si>
  <si>
    <t>2026-04-06</t>
  </si>
  <si>
    <t>Games</t>
  </si>
  <si>
    <t>TOTAL</t>
  </si>
  <si>
    <t>Lunch</t>
  </si>
  <si>
    <t>2026-04-07</t>
  </si>
  <si>
    <t>Metro</t>
  </si>
  <si>
    <t>Bag</t>
  </si>
  <si>
    <t>2026-04-08</t>
  </si>
  <si>
    <t>Netflix</t>
  </si>
  <si>
    <t>2026-04-09</t>
  </si>
  <si>
    <t>Coffee</t>
  </si>
  <si>
    <t>2026-04-10</t>
  </si>
  <si>
    <t>TOTAL EXPENSE</t>
  </si>
  <si>
    <t>Medicine</t>
  </si>
  <si>
    <t>Books</t>
  </si>
  <si>
    <t>Electricity</t>
  </si>
  <si>
    <t>Miscellaneous</t>
  </si>
  <si>
    <t>Doctor</t>
  </si>
  <si>
    <t>Course</t>
  </si>
  <si>
    <t>Water</t>
  </si>
  <si>
    <t>Gift</t>
  </si>
  <si>
    <t>Gym</t>
  </si>
  <si>
    <t>Tuition</t>
  </si>
  <si>
    <t>Internet</t>
  </si>
  <si>
    <t>Donation</t>
  </si>
  <si>
    <t>Electronics</t>
  </si>
  <si>
    <t>Concert</t>
  </si>
  <si>
    <t>Taxi</t>
  </si>
  <si>
    <t>Pharmacy</t>
  </si>
  <si>
    <t>Stationery</t>
  </si>
  <si>
    <t>Phone</t>
  </si>
  <si>
    <t>Subscription</t>
  </si>
  <si>
    <t>Accessories</t>
  </si>
  <si>
    <t>Sports</t>
  </si>
  <si>
    <t>Fuel</t>
  </si>
  <si>
    <t>Lab Test</t>
  </si>
  <si>
    <t>Online Class</t>
  </si>
  <si>
    <t>Gas</t>
  </si>
  <si>
    <t>Travel</t>
  </si>
  <si>
    <t>Groceries</t>
  </si>
  <si>
    <t>OTT</t>
  </si>
  <si>
    <t>Flight</t>
  </si>
  <si>
    <t>Hospital</t>
  </si>
  <si>
    <t>Workshop</t>
  </si>
  <si>
    <t>Rent</t>
  </si>
  <si>
    <t>Festival</t>
  </si>
  <si>
    <t>Restaurant</t>
  </si>
  <si>
    <t>Gifts</t>
  </si>
  <si>
    <t>Theatre</t>
  </si>
  <si>
    <t>Train</t>
  </si>
  <si>
    <t>Vitamins</t>
  </si>
  <si>
    <t>Exam Fee</t>
  </si>
  <si>
    <t>Maintenance</t>
  </si>
  <si>
    <t>Total Amount (₹)</t>
  </si>
  <si>
    <t>% of Total</t>
  </si>
  <si>
    <t>Transactions</t>
  </si>
  <si>
    <t>EXPENSE TRACKER SYSTEM</t>
  </si>
  <si>
    <t>Name - Gaurav Sharma</t>
  </si>
  <si>
    <t>UID - 23BCA10444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</si>
</sst>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2E4057"/>
      <name val="Arial"/>
      <charset val="1"/>
    </font>
    <font>
      <b/>
      <sz val="14"/>
      <color theme="1"/>
      <name val="Berlin Sans FB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BF2FA"/>
        <bgColor rgb="FFFFFFFF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9EBC"/>
      <rgbColor rgb="FFCCCCCC"/>
      <rgbColor rgb="FF8B8B8B"/>
      <rgbColor rgb="FF9999FF"/>
      <rgbColor rgb="FF993366"/>
      <rgbColor rgb="FFFFFFCC"/>
      <rgbColor rgb="FFEBF2FA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57B9D"/>
      <rgbColor rgb="FF0000FF"/>
      <rgbColor rgb="FF00CCFF"/>
      <rgbColor rgb="FFD6E4F0"/>
      <rgbColor rgb="FFCCFFCC"/>
      <rgbColor rgb="FFFFFF99"/>
      <rgbColor rgb="FF8ECAE6"/>
      <rgbColor rgb="FFFF99CC"/>
      <rgbColor rgb="FFCC99FF"/>
      <rgbColor rgb="FFFFCC99"/>
      <rgbColor rgb="FF4472C4"/>
      <rgbColor rgb="FF33CCCC"/>
      <rgbColor rgb="FF99CC00"/>
      <rgbColor rgb="FFFFCC00"/>
      <rgbColor rgb="FFF4A261"/>
      <rgbColor rgb="FFFF6600"/>
      <rgbColor rgb="FF6D6875"/>
      <rgbColor rgb="FFB5838D"/>
      <rgbColor rgb="FF003366"/>
      <rgbColor rgb="FF2A9D8F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Expense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60017463721592E-2"/>
          <c:y val="0.20331904888574695"/>
          <c:w val="0.64300573860851451"/>
          <c:h val="0.70436867740407172"/>
        </c:manualLayout>
      </c:layout>
      <c:pieChart>
        <c:varyColors val="1"/>
        <c:ser>
          <c:idx val="0"/>
          <c:order val="0"/>
          <c:tx>
            <c:strRef>
              <c:f>'Expense Data'!$G$1</c:f>
              <c:strCache>
                <c:ptCount val="1"/>
                <c:pt idx="0">
                  <c:v>Total (₹)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F4A26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EE3-4B3B-AAA2-E8F981EC8ECE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EE3-4B3B-AAA2-E8F981EC8ECE}"/>
              </c:ext>
            </c:extLst>
          </c:dPt>
          <c:dPt>
            <c:idx val="2"/>
            <c:bubble3D val="0"/>
            <c:spPr>
              <a:solidFill>
                <a:srgbClr val="E76F5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EE3-4B3B-AAA2-E8F981EC8ECE}"/>
              </c:ext>
            </c:extLst>
          </c:dPt>
          <c:dPt>
            <c:idx val="3"/>
            <c:bubble3D val="0"/>
            <c:spPr>
              <a:solidFill>
                <a:srgbClr val="457B9D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EE3-4B3B-AAA2-E8F981EC8ECE}"/>
              </c:ext>
            </c:extLst>
          </c:dPt>
          <c:dPt>
            <c:idx val="4"/>
            <c:bubble3D val="0"/>
            <c:spPr>
              <a:solidFill>
                <a:srgbClr val="8ECAE6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EE3-4B3B-AAA2-E8F981EC8ECE}"/>
              </c:ext>
            </c:extLst>
          </c:dPt>
          <c:dPt>
            <c:idx val="5"/>
            <c:bubble3D val="0"/>
            <c:spPr>
              <a:solidFill>
                <a:srgbClr val="219EBC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EE3-4B3B-AAA2-E8F981EC8ECE}"/>
              </c:ext>
            </c:extLst>
          </c:dPt>
          <c:dPt>
            <c:idx val="6"/>
            <c:bubble3D val="0"/>
            <c:spPr>
              <a:solidFill>
                <a:srgbClr val="6D6875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3EE3-4B3B-AAA2-E8F981EC8ECE}"/>
              </c:ext>
            </c:extLst>
          </c:dPt>
          <c:dPt>
            <c:idx val="7"/>
            <c:bubble3D val="0"/>
            <c:spPr>
              <a:solidFill>
                <a:srgbClr val="B5838D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3EE3-4B3B-AAA2-E8F981EC8EC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EE3-4B3B-AAA2-E8F981EC8EC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EE3-4B3B-AAA2-E8F981EC8EC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EE3-4B3B-AAA2-E8F981EC8EC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EE3-4B3B-AAA2-E8F981EC8EC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EE3-4B3B-AAA2-E8F981EC8EC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EE3-4B3B-AAA2-E8F981EC8ECE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3EE3-4B3B-AAA2-E8F981EC8ECE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3EE3-4B3B-AAA2-E8F981EC8E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'Expense Data'!$F$2:$F$9</c:f>
              <c:strCache>
                <c:ptCount val="8"/>
                <c:pt idx="0">
                  <c:v>Food</c:v>
                </c:pt>
                <c:pt idx="1">
                  <c:v>Shopping</c:v>
                </c:pt>
                <c:pt idx="2">
                  <c:v>Entertainment</c:v>
                </c:pt>
                <c:pt idx="3">
                  <c:v>Transport</c:v>
                </c:pt>
                <c:pt idx="4">
                  <c:v>Health</c:v>
                </c:pt>
                <c:pt idx="5">
                  <c:v>Education</c:v>
                </c:pt>
                <c:pt idx="6">
                  <c:v>Utilities</c:v>
                </c:pt>
                <c:pt idx="7">
                  <c:v>Other</c:v>
                </c:pt>
              </c:strCache>
            </c:strRef>
          </c:cat>
          <c:val>
            <c:numRef>
              <c:f>'Expense Data'!$G$2:$G$9</c:f>
              <c:numCache>
                <c:formatCode>\₹#,##0</c:formatCode>
                <c:ptCount val="8"/>
                <c:pt idx="0">
                  <c:v>2711</c:v>
                </c:pt>
                <c:pt idx="1">
                  <c:v>301</c:v>
                </c:pt>
                <c:pt idx="2">
                  <c:v>1561</c:v>
                </c:pt>
                <c:pt idx="3">
                  <c:v>200</c:v>
                </c:pt>
                <c:pt idx="4">
                  <c:v>50</c:v>
                </c:pt>
                <c:pt idx="5">
                  <c:v>2300</c:v>
                </c:pt>
                <c:pt idx="6">
                  <c:v>3000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E3-4B3B-AAA2-E8F981EC8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Data'!$G$1</c:f>
              <c:strCache>
                <c:ptCount val="1"/>
                <c:pt idx="0">
                  <c:v>Total (₹)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Data'!$F$2:$F$9</c:f>
              <c:strCache>
                <c:ptCount val="8"/>
                <c:pt idx="0">
                  <c:v>Food</c:v>
                </c:pt>
                <c:pt idx="1">
                  <c:v>Shopping</c:v>
                </c:pt>
                <c:pt idx="2">
                  <c:v>Entertainment</c:v>
                </c:pt>
                <c:pt idx="3">
                  <c:v>Transport</c:v>
                </c:pt>
                <c:pt idx="4">
                  <c:v>Health</c:v>
                </c:pt>
                <c:pt idx="5">
                  <c:v>Education</c:v>
                </c:pt>
                <c:pt idx="6">
                  <c:v>Utilities</c:v>
                </c:pt>
                <c:pt idx="7">
                  <c:v>Other</c:v>
                </c:pt>
              </c:strCache>
            </c:strRef>
          </c:cat>
          <c:val>
            <c:numRef>
              <c:f>'Expense Data'!$G$2:$G$9</c:f>
              <c:numCache>
                <c:formatCode>\₹#,##0</c:formatCode>
                <c:ptCount val="8"/>
                <c:pt idx="0">
                  <c:v>2711</c:v>
                </c:pt>
                <c:pt idx="1">
                  <c:v>301</c:v>
                </c:pt>
                <c:pt idx="2">
                  <c:v>1561</c:v>
                </c:pt>
                <c:pt idx="3">
                  <c:v>200</c:v>
                </c:pt>
                <c:pt idx="4">
                  <c:v>50</c:v>
                </c:pt>
                <c:pt idx="5">
                  <c:v>2300</c:v>
                </c:pt>
                <c:pt idx="6">
                  <c:v>3000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1-447B-B1C3-8BE15245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17437"/>
        <c:axId val="21148079"/>
      </c:barChart>
      <c:catAx>
        <c:axId val="340174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48079"/>
        <c:crosses val="autoZero"/>
        <c:auto val="1"/>
        <c:lblAlgn val="ctr"/>
        <c:lblOffset val="100"/>
        <c:noMultiLvlLbl val="0"/>
      </c:catAx>
      <c:valAx>
        <c:axId val="2114807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174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351175</xdr:colOff>
      <xdr:row>4</xdr:row>
      <xdr:rowOff>150090</xdr:rowOff>
    </xdr:from>
    <xdr:to>
      <xdr:col>10</xdr:col>
      <xdr:colOff>2678546</xdr:colOff>
      <xdr:row>25</xdr:row>
      <xdr:rowOff>34635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3070431</xdr:colOff>
      <xdr:row>4</xdr:row>
      <xdr:rowOff>138546</xdr:rowOff>
    </xdr:from>
    <xdr:to>
      <xdr:col>19</xdr:col>
      <xdr:colOff>3367</xdr:colOff>
      <xdr:row>25</xdr:row>
      <xdr:rowOff>12570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057"/>
  </sheetPr>
  <dimension ref="A1:K20"/>
  <sheetViews>
    <sheetView tabSelected="1" zoomScale="51" zoomScaleNormal="100" workbookViewId="0">
      <selection activeCell="B2" sqref="B2"/>
    </sheetView>
  </sheetViews>
  <sheetFormatPr defaultColWidth="8.6328125" defaultRowHeight="14.5" x14ac:dyDescent="0.35"/>
  <cols>
    <col min="1" max="1" width="15" customWidth="1"/>
    <col min="2" max="2" width="16" customWidth="1"/>
    <col min="3" max="3" width="18" customWidth="1"/>
    <col min="4" max="4" width="14" customWidth="1"/>
    <col min="6" max="6" width="18" customWidth="1"/>
    <col min="7" max="7" width="14" customWidth="1"/>
    <col min="11" max="11" width="43.90625" customWidth="1"/>
  </cols>
  <sheetData>
    <row r="1" spans="1:11" ht="1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F1" s="1" t="s">
        <v>1</v>
      </c>
      <c r="G1" s="1" t="s">
        <v>4</v>
      </c>
      <c r="K1" s="13" t="s">
        <v>82</v>
      </c>
    </row>
    <row r="2" spans="1:11" ht="15" customHeight="1" x14ac:dyDescent="0.35">
      <c r="A2" s="2" t="s">
        <v>5</v>
      </c>
      <c r="B2" s="3" t="s">
        <v>20</v>
      </c>
      <c r="C2" s="3" t="s">
        <v>44</v>
      </c>
      <c r="D2" s="4">
        <v>2300</v>
      </c>
      <c r="F2" s="3" t="s">
        <v>6</v>
      </c>
      <c r="G2" s="4">
        <f t="shared" ref="G2:G9" si="0">SUMIF($B$2:$B$19,F2,$D$2:$D$19)</f>
        <v>2711</v>
      </c>
      <c r="K2" t="s">
        <v>83</v>
      </c>
    </row>
    <row r="3" spans="1:11" ht="15" customHeight="1" x14ac:dyDescent="0.35">
      <c r="A3" s="5" t="s">
        <v>8</v>
      </c>
      <c r="B3" s="6" t="s">
        <v>9</v>
      </c>
      <c r="C3" s="6" t="s">
        <v>10</v>
      </c>
      <c r="D3" s="7">
        <v>211</v>
      </c>
      <c r="F3" s="6" t="s">
        <v>9</v>
      </c>
      <c r="G3" s="7">
        <f t="shared" si="0"/>
        <v>301</v>
      </c>
      <c r="K3" t="s">
        <v>84</v>
      </c>
    </row>
    <row r="4" spans="1:11" ht="15" customHeight="1" x14ac:dyDescent="0.35">
      <c r="A4" s="2" t="s">
        <v>11</v>
      </c>
      <c r="B4" s="3" t="s">
        <v>6</v>
      </c>
      <c r="C4" s="3" t="s">
        <v>12</v>
      </c>
      <c r="D4" s="4">
        <v>2389</v>
      </c>
      <c r="F4" s="3" t="s">
        <v>13</v>
      </c>
      <c r="G4" s="4">
        <f t="shared" si="0"/>
        <v>1561</v>
      </c>
    </row>
    <row r="5" spans="1:11" ht="15" customHeight="1" x14ac:dyDescent="0.35">
      <c r="A5" s="5" t="s">
        <v>11</v>
      </c>
      <c r="B5" s="6" t="s">
        <v>13</v>
      </c>
      <c r="C5" s="6" t="s">
        <v>14</v>
      </c>
      <c r="D5" s="7">
        <v>222</v>
      </c>
      <c r="F5" s="6" t="s">
        <v>15</v>
      </c>
      <c r="G5" s="7">
        <f t="shared" si="0"/>
        <v>200</v>
      </c>
    </row>
    <row r="6" spans="1:11" ht="15" customHeight="1" x14ac:dyDescent="0.35">
      <c r="A6" s="2" t="s">
        <v>16</v>
      </c>
      <c r="B6" s="3" t="s">
        <v>15</v>
      </c>
      <c r="C6" s="3" t="s">
        <v>17</v>
      </c>
      <c r="D6" s="4">
        <v>40</v>
      </c>
      <c r="F6" s="3" t="s">
        <v>18</v>
      </c>
      <c r="G6" s="4">
        <f t="shared" si="0"/>
        <v>50</v>
      </c>
    </row>
    <row r="7" spans="1:11" ht="15" customHeight="1" x14ac:dyDescent="0.35">
      <c r="A7" s="5" t="s">
        <v>16</v>
      </c>
      <c r="B7" s="6" t="s">
        <v>15</v>
      </c>
      <c r="C7" s="6" t="s">
        <v>19</v>
      </c>
      <c r="D7" s="7">
        <v>20</v>
      </c>
      <c r="F7" s="6" t="s">
        <v>20</v>
      </c>
      <c r="G7" s="7">
        <f t="shared" si="0"/>
        <v>2300</v>
      </c>
    </row>
    <row r="8" spans="1:11" ht="15" customHeight="1" x14ac:dyDescent="0.35">
      <c r="A8" s="2" t="s">
        <v>21</v>
      </c>
      <c r="B8" s="3" t="s">
        <v>23</v>
      </c>
      <c r="C8" s="3" t="s">
        <v>22</v>
      </c>
      <c r="D8" s="4">
        <v>3000</v>
      </c>
      <c r="F8" s="3" t="s">
        <v>23</v>
      </c>
      <c r="G8" s="4">
        <f t="shared" si="0"/>
        <v>3000</v>
      </c>
    </row>
    <row r="9" spans="1:11" ht="15" customHeight="1" x14ac:dyDescent="0.35">
      <c r="A9" s="5" t="s">
        <v>21</v>
      </c>
      <c r="B9" s="6" t="s">
        <v>6</v>
      </c>
      <c r="C9" s="6" t="s">
        <v>24</v>
      </c>
      <c r="D9" s="7">
        <v>20</v>
      </c>
      <c r="F9" s="6" t="s">
        <v>25</v>
      </c>
      <c r="G9" s="7">
        <f t="shared" si="0"/>
        <v>60</v>
      </c>
    </row>
    <row r="10" spans="1:11" ht="15" customHeight="1" x14ac:dyDescent="0.35">
      <c r="A10" s="2" t="s">
        <v>26</v>
      </c>
      <c r="B10" s="3" t="s">
        <v>13</v>
      </c>
      <c r="C10" s="3" t="s">
        <v>27</v>
      </c>
      <c r="D10" s="4">
        <v>1100</v>
      </c>
      <c r="F10" s="8" t="s">
        <v>28</v>
      </c>
      <c r="G10" s="9">
        <f>SUM(G2:G9)</f>
        <v>10183</v>
      </c>
    </row>
    <row r="11" spans="1:11" ht="15" customHeight="1" x14ac:dyDescent="0.35">
      <c r="A11" s="5" t="s">
        <v>26</v>
      </c>
      <c r="B11" s="6" t="s">
        <v>6</v>
      </c>
      <c r="C11" s="6" t="s">
        <v>29</v>
      </c>
      <c r="D11" s="7">
        <v>50</v>
      </c>
    </row>
    <row r="12" spans="1:11" ht="15" customHeight="1" x14ac:dyDescent="0.35">
      <c r="A12" s="2" t="s">
        <v>30</v>
      </c>
      <c r="B12" s="3" t="s">
        <v>15</v>
      </c>
      <c r="C12" s="3" t="s">
        <v>31</v>
      </c>
      <c r="D12" s="4">
        <v>140</v>
      </c>
    </row>
    <row r="13" spans="1:11" ht="15" customHeight="1" x14ac:dyDescent="0.35">
      <c r="A13" s="5" t="s">
        <v>30</v>
      </c>
      <c r="B13" s="6" t="s">
        <v>25</v>
      </c>
      <c r="C13" s="6" t="s">
        <v>32</v>
      </c>
      <c r="D13" s="7">
        <v>60</v>
      </c>
    </row>
    <row r="14" spans="1:11" ht="15" customHeight="1" x14ac:dyDescent="0.35">
      <c r="A14" s="2" t="s">
        <v>33</v>
      </c>
      <c r="B14" s="3" t="s">
        <v>6</v>
      </c>
      <c r="C14" s="3" t="s">
        <v>12</v>
      </c>
      <c r="D14" s="4">
        <v>200</v>
      </c>
    </row>
    <row r="15" spans="1:11" ht="15" customHeight="1" x14ac:dyDescent="0.35">
      <c r="A15" s="5" t="s">
        <v>33</v>
      </c>
      <c r="B15" s="6" t="s">
        <v>13</v>
      </c>
      <c r="C15" s="6" t="s">
        <v>34</v>
      </c>
      <c r="D15" s="7">
        <v>239</v>
      </c>
    </row>
    <row r="16" spans="1:11" ht="15" customHeight="1" x14ac:dyDescent="0.35">
      <c r="A16" s="2" t="s">
        <v>35</v>
      </c>
      <c r="B16" s="3" t="s">
        <v>18</v>
      </c>
      <c r="C16" s="3" t="s">
        <v>17</v>
      </c>
      <c r="D16" s="4">
        <v>50</v>
      </c>
    </row>
    <row r="17" spans="1:4" ht="15" customHeight="1" x14ac:dyDescent="0.35">
      <c r="A17" s="5" t="s">
        <v>35</v>
      </c>
      <c r="B17" s="6" t="s">
        <v>6</v>
      </c>
      <c r="C17" s="6" t="s">
        <v>36</v>
      </c>
      <c r="D17" s="7">
        <v>40</v>
      </c>
    </row>
    <row r="18" spans="1:4" ht="15" customHeight="1" x14ac:dyDescent="0.35">
      <c r="A18" s="2" t="s">
        <v>37</v>
      </c>
      <c r="B18" s="3" t="s">
        <v>9</v>
      </c>
      <c r="C18" s="3" t="s">
        <v>32</v>
      </c>
      <c r="D18" s="4">
        <v>90</v>
      </c>
    </row>
    <row r="19" spans="1:4" ht="15" customHeight="1" x14ac:dyDescent="0.35">
      <c r="A19" s="5" t="s">
        <v>37</v>
      </c>
      <c r="B19" s="6" t="s">
        <v>6</v>
      </c>
      <c r="C19" s="6" t="s">
        <v>29</v>
      </c>
      <c r="D19" s="7">
        <v>12</v>
      </c>
    </row>
    <row r="20" spans="1:4" ht="15" customHeight="1" x14ac:dyDescent="0.35">
      <c r="A20" s="8"/>
      <c r="B20" s="8"/>
      <c r="C20" s="8" t="s">
        <v>38</v>
      </c>
      <c r="D20" s="9">
        <f>SUM(D2:D19)</f>
        <v>10183</v>
      </c>
    </row>
  </sheetData>
  <dataValidations count="2">
    <dataValidation type="list" showErrorMessage="1" errorTitle="Invalid" error="Choose a category from the list." sqref="B2:B19" xr:uid="{00000000-0002-0000-0000-000000000000}">
      <formula1>"Food,Shopping,Entertainment,Transport,Health,Education,Utilities,Other"</formula1>
      <formula2>0</formula2>
    </dataValidation>
    <dataValidation type="list" allowBlank="1" showErrorMessage="1" errorTitle="Pick description" error="Select a description matching the category." sqref="C2:C19" xr:uid="{00000000-0002-0000-0000-000001000000}">
      <formula1>INDIRECT("Desc_"&amp;B2)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zoomScaleNormal="100" workbookViewId="0"/>
  </sheetViews>
  <sheetFormatPr defaultColWidth="8.6328125" defaultRowHeight="14.5" x14ac:dyDescent="0.35"/>
  <sheetData>
    <row r="1" spans="1:9" ht="15" customHeight="1" x14ac:dyDescent="0.35">
      <c r="A1" t="s">
        <v>1</v>
      </c>
      <c r="B1" t="s">
        <v>6</v>
      </c>
      <c r="C1" t="s">
        <v>9</v>
      </c>
      <c r="D1" t="s">
        <v>13</v>
      </c>
      <c r="E1" t="s">
        <v>15</v>
      </c>
      <c r="F1" t="s">
        <v>18</v>
      </c>
      <c r="G1" t="s">
        <v>20</v>
      </c>
      <c r="H1" t="s">
        <v>23</v>
      </c>
      <c r="I1" t="s">
        <v>25</v>
      </c>
    </row>
    <row r="2" spans="1:9" ht="15" customHeight="1" x14ac:dyDescent="0.35">
      <c r="B2" t="s">
        <v>7</v>
      </c>
      <c r="C2" t="s">
        <v>10</v>
      </c>
      <c r="D2" t="s">
        <v>14</v>
      </c>
      <c r="E2" t="s">
        <v>17</v>
      </c>
      <c r="F2" t="s">
        <v>39</v>
      </c>
      <c r="G2" t="s">
        <v>40</v>
      </c>
      <c r="H2" t="s">
        <v>41</v>
      </c>
      <c r="I2" t="s">
        <v>42</v>
      </c>
    </row>
    <row r="3" spans="1:9" ht="15" customHeight="1" x14ac:dyDescent="0.35">
      <c r="B3" t="s">
        <v>29</v>
      </c>
      <c r="C3" t="s">
        <v>22</v>
      </c>
      <c r="D3" t="s">
        <v>34</v>
      </c>
      <c r="E3" t="s">
        <v>19</v>
      </c>
      <c r="F3" t="s">
        <v>43</v>
      </c>
      <c r="G3" t="s">
        <v>44</v>
      </c>
      <c r="H3" t="s">
        <v>45</v>
      </c>
      <c r="I3" t="s">
        <v>46</v>
      </c>
    </row>
    <row r="4" spans="1:9" ht="15" customHeight="1" x14ac:dyDescent="0.35">
      <c r="B4" t="s">
        <v>12</v>
      </c>
      <c r="C4" t="s">
        <v>32</v>
      </c>
      <c r="D4" t="s">
        <v>27</v>
      </c>
      <c r="E4" t="s">
        <v>31</v>
      </c>
      <c r="F4" t="s">
        <v>47</v>
      </c>
      <c r="G4" t="s">
        <v>48</v>
      </c>
      <c r="H4" t="s">
        <v>49</v>
      </c>
      <c r="I4" t="s">
        <v>50</v>
      </c>
    </row>
    <row r="5" spans="1:9" ht="15" customHeight="1" x14ac:dyDescent="0.35">
      <c r="B5" t="s">
        <v>24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</row>
    <row r="6" spans="1:9" ht="15" customHeight="1" x14ac:dyDescent="0.35">
      <c r="B6" t="s">
        <v>36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</row>
    <row r="7" spans="1:9" ht="15" customHeight="1" x14ac:dyDescent="0.35">
      <c r="B7" t="s">
        <v>65</v>
      </c>
      <c r="C7" t="s">
        <v>40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</row>
    <row r="8" spans="1:9" ht="15" customHeight="1" x14ac:dyDescent="0.35"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8F"/>
  </sheetPr>
  <dimension ref="A1:D10"/>
  <sheetViews>
    <sheetView zoomScaleNormal="100" workbookViewId="0">
      <selection activeCell="D13" sqref="D13"/>
    </sheetView>
  </sheetViews>
  <sheetFormatPr defaultColWidth="8.6328125" defaultRowHeight="14.5" x14ac:dyDescent="0.35"/>
  <cols>
    <col min="1" max="1" width="18" customWidth="1"/>
    <col min="2" max="2" width="20" customWidth="1"/>
    <col min="3" max="3" width="14" customWidth="1"/>
    <col min="4" max="4" width="16" customWidth="1"/>
  </cols>
  <sheetData>
    <row r="1" spans="1:4" ht="15" customHeight="1" x14ac:dyDescent="0.35">
      <c r="A1" s="1" t="s">
        <v>1</v>
      </c>
      <c r="B1" s="1" t="s">
        <v>79</v>
      </c>
      <c r="C1" s="1" t="s">
        <v>80</v>
      </c>
      <c r="D1" s="1" t="s">
        <v>81</v>
      </c>
    </row>
    <row r="2" spans="1:4" ht="15" customHeight="1" x14ac:dyDescent="0.35">
      <c r="A2" s="3" t="s">
        <v>6</v>
      </c>
      <c r="B2" s="4">
        <f>SUMIF('Expense Data'!$B$2:$B$19,A2,'Expense Data'!$D$2:$D$19)</f>
        <v>2711</v>
      </c>
      <c r="C2" s="10">
        <f t="shared" ref="C2:C10" si="0">IF(B2=0,0,B2/SUM($B$2:$B$9))</f>
        <v>0.26622802710399684</v>
      </c>
      <c r="D2" s="3">
        <f>COUNTIF('Expense Data'!$B$2:$B$19,A2)</f>
        <v>6</v>
      </c>
    </row>
    <row r="3" spans="1:4" ht="15" customHeight="1" x14ac:dyDescent="0.35">
      <c r="A3" s="6" t="s">
        <v>9</v>
      </c>
      <c r="B3" s="7">
        <f>SUMIF('Expense Data'!$B$2:$B$19,A3,'Expense Data'!$D$2:$D$19)</f>
        <v>301</v>
      </c>
      <c r="C3" s="11">
        <f t="shared" si="0"/>
        <v>2.9559069036629675E-2</v>
      </c>
      <c r="D3" s="6">
        <f>COUNTIF('Expense Data'!$B$2:$B$19,A3)</f>
        <v>2</v>
      </c>
    </row>
    <row r="4" spans="1:4" ht="15" customHeight="1" x14ac:dyDescent="0.35">
      <c r="A4" s="3" t="s">
        <v>13</v>
      </c>
      <c r="B4" s="4">
        <f>SUMIF('Expense Data'!$B$2:$B$19,A4,'Expense Data'!$D$2:$D$19)</f>
        <v>1561</v>
      </c>
      <c r="C4" s="10">
        <f t="shared" si="0"/>
        <v>0.15329470686438182</v>
      </c>
      <c r="D4" s="3">
        <f>COUNTIF('Expense Data'!$B$2:$B$19,A4)</f>
        <v>3</v>
      </c>
    </row>
    <row r="5" spans="1:4" ht="15" customHeight="1" x14ac:dyDescent="0.35">
      <c r="A5" s="6" t="s">
        <v>15</v>
      </c>
      <c r="B5" s="7">
        <f>SUMIF('Expense Data'!$B$2:$B$19,A5,'Expense Data'!$D$2:$D$19)</f>
        <v>200</v>
      </c>
      <c r="C5" s="11">
        <f t="shared" si="0"/>
        <v>1.9640577432976529E-2</v>
      </c>
      <c r="D5" s="6">
        <f>COUNTIF('Expense Data'!$B$2:$B$19,A5)</f>
        <v>3</v>
      </c>
    </row>
    <row r="6" spans="1:4" ht="15" customHeight="1" x14ac:dyDescent="0.35">
      <c r="A6" s="3" t="s">
        <v>18</v>
      </c>
      <c r="B6" s="4">
        <f>SUMIF('Expense Data'!$B$2:$B$19,A6,'Expense Data'!$D$2:$D$19)</f>
        <v>50</v>
      </c>
      <c r="C6" s="10">
        <f t="shared" si="0"/>
        <v>4.9101443582441322E-3</v>
      </c>
      <c r="D6" s="3">
        <f>COUNTIF('Expense Data'!$B$2:$B$19,A6)</f>
        <v>1</v>
      </c>
    </row>
    <row r="7" spans="1:4" ht="15" customHeight="1" x14ac:dyDescent="0.35">
      <c r="A7" s="6" t="s">
        <v>20</v>
      </c>
      <c r="B7" s="7">
        <f>SUMIF('Expense Data'!$B$2:$B$19,A7,'Expense Data'!$D$2:$D$19)</f>
        <v>2300</v>
      </c>
      <c r="C7" s="11">
        <f t="shared" si="0"/>
        <v>0.22586664047923008</v>
      </c>
      <c r="D7" s="6">
        <f>COUNTIF('Expense Data'!$B$2:$B$19,A7)</f>
        <v>1</v>
      </c>
    </row>
    <row r="8" spans="1:4" ht="15" customHeight="1" x14ac:dyDescent="0.35">
      <c r="A8" s="3" t="s">
        <v>23</v>
      </c>
      <c r="B8" s="4">
        <f>SUMIF('Expense Data'!$B$2:$B$19,A8,'Expense Data'!$D$2:$D$19)</f>
        <v>3000</v>
      </c>
      <c r="C8" s="10">
        <f t="shared" si="0"/>
        <v>0.29460866149464793</v>
      </c>
      <c r="D8" s="3">
        <f>COUNTIF('Expense Data'!$B$2:$B$19,A8)</f>
        <v>1</v>
      </c>
    </row>
    <row r="9" spans="1:4" ht="15" customHeight="1" x14ac:dyDescent="0.35">
      <c r="A9" s="6" t="s">
        <v>25</v>
      </c>
      <c r="B9" s="7">
        <f>SUMIF('Expense Data'!$B$2:$B$19,A9,'Expense Data'!$D$2:$D$19)</f>
        <v>60</v>
      </c>
      <c r="C9" s="11">
        <f t="shared" si="0"/>
        <v>5.8921732298929585E-3</v>
      </c>
      <c r="D9" s="6">
        <f>COUNTIF('Expense Data'!$B$2:$B$19,A9)</f>
        <v>1</v>
      </c>
    </row>
    <row r="10" spans="1:4" ht="15" customHeight="1" x14ac:dyDescent="0.35">
      <c r="A10" s="8" t="s">
        <v>28</v>
      </c>
      <c r="B10" s="9">
        <f>SUM(B2:B9)</f>
        <v>10183</v>
      </c>
      <c r="C10" s="12">
        <f t="shared" si="0"/>
        <v>1</v>
      </c>
      <c r="D10" s="8">
        <f>SUM(D2:D9)</f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Expense Data</vt:lpstr>
      <vt:lpstr>_Lookup</vt:lpstr>
      <vt:lpstr>Summary</vt:lpstr>
      <vt:lpstr>Desc_Education</vt:lpstr>
      <vt:lpstr>Desc_Entertainment</vt:lpstr>
      <vt:lpstr>Desc_Food</vt:lpstr>
      <vt:lpstr>Desc_Health</vt:lpstr>
      <vt:lpstr>Desc_Other</vt:lpstr>
      <vt:lpstr>Desc_Shopping</vt:lpstr>
      <vt:lpstr>Desc_Transport</vt:lpstr>
      <vt:lpstr>Desc_Utilities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SHARMA</dc:creator>
  <dc:description/>
  <cp:lastModifiedBy>GAURAV SHARMA</cp:lastModifiedBy>
  <cp:revision>2</cp:revision>
  <dcterms:created xsi:type="dcterms:W3CDTF">2026-04-07T11:23:32Z</dcterms:created>
  <dcterms:modified xsi:type="dcterms:W3CDTF">2026-04-09T06:38:13Z</dcterms:modified>
  <dc:language>en-US</dc:language>
</cp:coreProperties>
</file>